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etuononen\Desktop\Francis Turbine Data\plots\"/>
    </mc:Choice>
  </mc:AlternateContent>
  <xr:revisionPtr revIDLastSave="0" documentId="8_{ECEE82B7-2D66-4566-B1CB-E58F4B99D372}" xr6:coauthVersionLast="47" xr6:coauthVersionMax="47" xr10:uidLastSave="{00000000-0000-0000-0000-000000000000}"/>
  <bookViews>
    <workbookView xWindow="180" yWindow="0" windowWidth="11592" windowHeight="12240" activeTab="1" xr2:uid="{00000000-000D-0000-FFFF-FFFF00000000}"/>
  </bookViews>
  <sheets>
    <sheet name="Notes" sheetId="4" r:id="rId1"/>
    <sheet name="Inputs" sheetId="1" r:id="rId2"/>
    <sheet name="Models" sheetId="2" r:id="rId3"/>
    <sheet name="Result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C8" i="3"/>
  <c r="D12" i="3"/>
  <c r="C12" i="3"/>
  <c r="D16" i="3"/>
  <c r="C16" i="3"/>
  <c r="D4" i="3"/>
  <c r="C4" i="3"/>
  <c r="B16" i="3"/>
  <c r="A16" i="3"/>
  <c r="B12" i="3"/>
  <c r="A12" i="3"/>
  <c r="B8" i="3"/>
  <c r="A8" i="3"/>
  <c r="B4" i="3"/>
  <c r="E20" i="3" s="1"/>
  <c r="A4" i="3"/>
  <c r="D20" i="3" l="1"/>
  <c r="A20" i="3"/>
  <c r="B20" i="3"/>
  <c r="C20" i="3"/>
  <c r="C24" i="3" l="1"/>
  <c r="D24" i="3"/>
  <c r="B24" i="3"/>
  <c r="A24" i="3"/>
</calcChain>
</file>

<file path=xl/sharedStrings.xml><?xml version="1.0" encoding="utf-8"?>
<sst xmlns="http://schemas.openxmlformats.org/spreadsheetml/2006/main" count="104" uniqueCount="53">
  <si>
    <t>Date</t>
  </si>
  <si>
    <t>Version</t>
  </si>
  <si>
    <t>Created by</t>
  </si>
  <si>
    <t xml:space="preserve"> Erik Tuononen</t>
  </si>
  <si>
    <t>Reviewer</t>
  </si>
  <si>
    <t>Kevin Nebiolo</t>
  </si>
  <si>
    <t>How to use:</t>
  </si>
  <si>
    <t>1) Set confidence level in Inputs!B2 (default 0.95).</t>
  </si>
  <si>
    <t>2) Enter Qcap in Inputs column A.</t>
  </si>
  <si>
    <t>3) All other parameters (D2, ratio, D1, N, B, RPM, Qopt) compute automatically.</t>
  </si>
  <si>
    <t>Description:</t>
  </si>
  <si>
    <t>We’ve completed an Excel‑based prediction tool for estimating key Francis turbine parameters using Qcap (individual turbine hydraulic capacity in m³/s) as the only user‑supplied input. The tool derives its estimates of D2, D1, B, RPM, Qopt, and N (number of blades) from linear relationships identified in our compiled dataset of Francis turbine specifications. Each relationship is modeled using a simple linear regression of the form y = b₀ + b₁x, where b₀ (intercept) and b₁ (slope) were calculated with regression methods (e.g., relationships such as Qcap ~ Qopt, D2 ~ Qcap, RPM ~ Qcap). These regression equations, together with Excel‑based formulas for upper and lower confidence bounds, form the basis of the tool. Confidence intervals are user‑adjustable and computed using  CI_low  = ŷ – t * SE_mean and CI_high = ŷ + t * SE_mean​, where the t-value depends on the chosen confidence level and the regression's degrees of freedom.
You will have to carry out a sensitivity analysis using the FEIRA tool where you run seperate simulations using the upper and lower values from CI.</t>
  </si>
  <si>
    <t>Parameter</t>
  </si>
  <si>
    <t>Value</t>
  </si>
  <si>
    <t>Confidence level (0-1)</t>
  </si>
  <si>
    <t>0.95</t>
  </si>
  <si>
    <t>Notes</t>
  </si>
  <si>
    <t>Enter Qcap below; all other values auto-computed.</t>
  </si>
  <si>
    <t>Qcap</t>
  </si>
  <si>
    <t>Model: D2 ~ Qcap</t>
  </si>
  <si>
    <t>b0</t>
  </si>
  <si>
    <t>b1</t>
  </si>
  <si>
    <t>sigma</t>
  </si>
  <si>
    <t>n</t>
  </si>
  <si>
    <t>xbar</t>
  </si>
  <si>
    <t>Sxx</t>
  </si>
  <si>
    <t>df</t>
  </si>
  <si>
    <t>Auto: Qcap -&gt; D2 -&gt; ratio -&gt; D1</t>
  </si>
  <si>
    <t>Model: N ~ D1/D2</t>
  </si>
  <si>
    <t>Model: B ~ Qcap</t>
  </si>
  <si>
    <t>Model: RPM ~ Qcap</t>
  </si>
  <si>
    <t>Model: Qopt ~ Qcap</t>
  </si>
  <si>
    <t>D2 from Qcap (Model: D2 ~ Qcap)</t>
  </si>
  <si>
    <t>X</t>
  </si>
  <si>
    <t>Y_hat</t>
  </si>
  <si>
    <t>CI_low</t>
  </si>
  <si>
    <t>CI_high</t>
  </si>
  <si>
    <t>Y_hat = D2</t>
  </si>
  <si>
    <t>B from Qcap (Model: B ~ Qcap)</t>
  </si>
  <si>
    <t>Y_hat=B</t>
  </si>
  <si>
    <t>RPM from Qcap (Model: RPM ~ Qcap)</t>
  </si>
  <si>
    <t>Y_hat=RPM</t>
  </si>
  <si>
    <t>Qopt from Qcap (Model: Qopt ~ Qcap)</t>
  </si>
  <si>
    <t>Y_hat=Qopt</t>
  </si>
  <si>
    <t>D1 &amp; Ratio from D2 (Auto: Qcap -&gt; D2 -&gt; ratio -&gt; D1)</t>
  </si>
  <si>
    <t>D2_input</t>
  </si>
  <si>
    <t>ratio_hat</t>
  </si>
  <si>
    <t>D1_hat</t>
  </si>
  <si>
    <t>D1_hat=D1</t>
  </si>
  <si>
    <t>N from ratio (Model: N ~ D1/D2)</t>
  </si>
  <si>
    <t>ratio_input</t>
  </si>
  <si>
    <t>N_hat</t>
  </si>
  <si>
    <t>N_hat=N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</si>
</sst>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activeCell="I7" sqref="I7"/>
    </sheetView>
  </sheetViews>
  <sheetFormatPr defaultColWidth="11.5703125" defaultRowHeight="14.45"/>
  <cols>
    <col min="8" max="8" width="12.42578125" bestFit="1" customWidth="1"/>
    <col min="9" max="9" width="99.28515625" customWidth="1"/>
  </cols>
  <sheetData>
    <row r="1" spans="1:9">
      <c r="A1" t="s">
        <v>0</v>
      </c>
      <c r="B1" s="3">
        <v>46098</v>
      </c>
    </row>
    <row r="2" spans="1:9">
      <c r="A2" t="s">
        <v>1</v>
      </c>
      <c r="B2" s="4">
        <v>1</v>
      </c>
    </row>
    <row r="3" spans="1:9">
      <c r="A3" t="s">
        <v>2</v>
      </c>
      <c r="B3" t="s">
        <v>3</v>
      </c>
    </row>
    <row r="4" spans="1:9">
      <c r="A4" t="s">
        <v>4</v>
      </c>
      <c r="B4" t="s">
        <v>5</v>
      </c>
    </row>
    <row r="6" spans="1:9" ht="15">
      <c r="A6" t="s">
        <v>6</v>
      </c>
    </row>
    <row r="7" spans="1:9">
      <c r="A7" t="s">
        <v>7</v>
      </c>
    </row>
    <row r="8" spans="1:9">
      <c r="A8" t="s">
        <v>8</v>
      </c>
    </row>
    <row r="9" spans="1:9" ht="15">
      <c r="A9" t="s">
        <v>9</v>
      </c>
      <c r="I9" t="s">
        <v>10</v>
      </c>
    </row>
    <row r="10" spans="1:9" ht="187.5" customHeight="1">
      <c r="I10" s="5" t="s">
        <v>11</v>
      </c>
    </row>
    <row r="11" spans="1:9" ht="15"/>
    <row r="12" spans="1:9" ht="15"/>
    <row r="13" spans="1:9" ht="15"/>
    <row r="14" spans="1:9" ht="15"/>
    <row r="15" spans="1:9" ht="15"/>
    <row r="16" spans="1:9" ht="15"/>
    <row r="17" ht="15"/>
    <row r="18" ht="15"/>
    <row r="19" ht="15"/>
    <row r="20" ht="15"/>
    <row r="21" ht="15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0" sqref="B10"/>
    </sheetView>
  </sheetViews>
  <sheetFormatPr defaultColWidth="11.5703125" defaultRowHeight="14.45"/>
  <sheetData>
    <row r="1" spans="1:2" ht="15" thickBot="1">
      <c r="A1" t="s">
        <v>12</v>
      </c>
      <c r="B1" t="s">
        <v>13</v>
      </c>
    </row>
    <row r="2" spans="1:2" ht="15" thickBot="1">
      <c r="A2" t="s">
        <v>14</v>
      </c>
      <c r="B2" s="2" t="s">
        <v>15</v>
      </c>
    </row>
    <row r="4" spans="1:2">
      <c r="A4" t="s">
        <v>16</v>
      </c>
      <c r="B4" t="s">
        <v>17</v>
      </c>
    </row>
    <row r="5" spans="1:2" ht="15" thickBot="1">
      <c r="A5" t="s">
        <v>18</v>
      </c>
    </row>
    <row r="6" spans="1:2" ht="15" thickBot="1">
      <c r="A6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55"/>
  <sheetViews>
    <sheetView workbookViewId="0">
      <selection activeCell="A21" sqref="A21"/>
    </sheetView>
  </sheetViews>
  <sheetFormatPr defaultColWidth="11.5703125" defaultRowHeight="14.45"/>
  <sheetData>
    <row r="3" spans="1:2">
      <c r="A3" s="1" t="s">
        <v>19</v>
      </c>
    </row>
    <row r="4" spans="1:2">
      <c r="A4" t="s">
        <v>20</v>
      </c>
      <c r="B4">
        <v>0.73061574903446702</v>
      </c>
    </row>
    <row r="5" spans="1:2">
      <c r="A5" t="s">
        <v>21</v>
      </c>
      <c r="B5">
        <v>5.0447642770627597E-2</v>
      </c>
    </row>
    <row r="6" spans="1:2">
      <c r="A6" t="s">
        <v>22</v>
      </c>
      <c r="B6">
        <v>0.58258987975361798</v>
      </c>
    </row>
    <row r="7" spans="1:2">
      <c r="A7" t="s">
        <v>23</v>
      </c>
      <c r="B7">
        <v>44</v>
      </c>
    </row>
    <row r="8" spans="1:2">
      <c r="A8" t="s">
        <v>24</v>
      </c>
      <c r="B8">
        <v>27.4151118909773</v>
      </c>
    </row>
    <row r="9" spans="1:2">
      <c r="A9" t="s">
        <v>25</v>
      </c>
      <c r="B9">
        <v>17098.406986934198</v>
      </c>
    </row>
    <row r="10" spans="1:2">
      <c r="A10" t="s">
        <v>26</v>
      </c>
      <c r="B10">
        <v>42</v>
      </c>
    </row>
    <row r="12" spans="1:2">
      <c r="A12" s="1" t="s">
        <v>27</v>
      </c>
    </row>
    <row r="13" spans="1:2">
      <c r="A13" t="s">
        <v>20</v>
      </c>
      <c r="B13">
        <v>0.85750010116064401</v>
      </c>
    </row>
    <row r="14" spans="1:2">
      <c r="A14" t="s">
        <v>21</v>
      </c>
      <c r="B14">
        <v>-4.6399788642505997E-2</v>
      </c>
    </row>
    <row r="15" spans="1:2">
      <c r="A15" t="s">
        <v>22</v>
      </c>
      <c r="B15">
        <v>0.17850317022670301</v>
      </c>
    </row>
    <row r="16" spans="1:2">
      <c r="A16" t="s">
        <v>23</v>
      </c>
      <c r="B16">
        <v>44</v>
      </c>
    </row>
    <row r="17" spans="1:2">
      <c r="A17" t="s">
        <v>24</v>
      </c>
      <c r="B17">
        <v>2.1136435202272699</v>
      </c>
    </row>
    <row r="18" spans="1:2">
      <c r="A18" t="s">
        <v>25</v>
      </c>
      <c r="B18">
        <v>57.770102198708699</v>
      </c>
    </row>
    <row r="19" spans="1:2">
      <c r="A19" t="s">
        <v>26</v>
      </c>
      <c r="B19">
        <v>42</v>
      </c>
    </row>
    <row r="21" spans="1:2">
      <c r="A21" s="1" t="s">
        <v>28</v>
      </c>
    </row>
    <row r="22" spans="1:2">
      <c r="A22" t="s">
        <v>20</v>
      </c>
      <c r="B22">
        <v>10.0191914796393</v>
      </c>
    </row>
    <row r="23" spans="1:2">
      <c r="A23" t="s">
        <v>21</v>
      </c>
      <c r="B23">
        <v>4.7630250566776597</v>
      </c>
    </row>
    <row r="24" spans="1:2">
      <c r="A24" t="s">
        <v>22</v>
      </c>
      <c r="B24">
        <v>3.4330322041192298</v>
      </c>
    </row>
    <row r="25" spans="1:2">
      <c r="A25" t="s">
        <v>23</v>
      </c>
      <c r="B25">
        <v>44</v>
      </c>
    </row>
    <row r="26" spans="1:2">
      <c r="A26" t="s">
        <v>24</v>
      </c>
      <c r="B26">
        <v>0.759427488556497</v>
      </c>
    </row>
    <row r="27" spans="1:2">
      <c r="A27" t="s">
        <v>25</v>
      </c>
      <c r="B27">
        <v>1.46263762093224</v>
      </c>
    </row>
    <row r="28" spans="1:2">
      <c r="A28" t="s">
        <v>26</v>
      </c>
      <c r="B28">
        <v>42</v>
      </c>
    </row>
    <row r="30" spans="1:2">
      <c r="A30" s="1" t="s">
        <v>29</v>
      </c>
    </row>
    <row r="31" spans="1:2">
      <c r="A31" t="s">
        <v>20</v>
      </c>
      <c r="B31">
        <v>0.345723733027191</v>
      </c>
    </row>
    <row r="32" spans="1:2">
      <c r="A32" t="s">
        <v>21</v>
      </c>
      <c r="B32">
        <v>1.1294201101055199E-2</v>
      </c>
    </row>
    <row r="33" spans="1:2">
      <c r="A33" t="s">
        <v>22</v>
      </c>
      <c r="B33">
        <v>0.227371821462555</v>
      </c>
    </row>
    <row r="34" spans="1:2">
      <c r="A34" t="s">
        <v>23</v>
      </c>
      <c r="B34">
        <v>44</v>
      </c>
    </row>
    <row r="35" spans="1:2">
      <c r="A35" t="s">
        <v>24</v>
      </c>
      <c r="B35">
        <v>27.4151118909773</v>
      </c>
    </row>
    <row r="36" spans="1:2">
      <c r="A36" t="s">
        <v>25</v>
      </c>
      <c r="B36">
        <v>17098.406986934198</v>
      </c>
    </row>
    <row r="37" spans="1:2">
      <c r="A37" t="s">
        <v>26</v>
      </c>
      <c r="B37">
        <v>42</v>
      </c>
    </row>
    <row r="39" spans="1:2">
      <c r="A39" s="1" t="s">
        <v>30</v>
      </c>
    </row>
    <row r="40" spans="1:2">
      <c r="A40" t="s">
        <v>20</v>
      </c>
      <c r="B40">
        <v>265.44127860499901</v>
      </c>
    </row>
    <row r="41" spans="1:2">
      <c r="A41" t="s">
        <v>21</v>
      </c>
      <c r="B41">
        <v>-2.2292716388071199</v>
      </c>
    </row>
    <row r="42" spans="1:2">
      <c r="A42" t="s">
        <v>22</v>
      </c>
      <c r="B42">
        <v>68.372210481138495</v>
      </c>
    </row>
    <row r="43" spans="1:2">
      <c r="A43" t="s">
        <v>23</v>
      </c>
      <c r="B43">
        <v>49</v>
      </c>
    </row>
    <row r="44" spans="1:2">
      <c r="A44" t="s">
        <v>24</v>
      </c>
      <c r="B44">
        <v>27.969441498836701</v>
      </c>
    </row>
    <row r="45" spans="1:2">
      <c r="A45" t="s">
        <v>25</v>
      </c>
      <c r="B45">
        <v>20752.6046634138</v>
      </c>
    </row>
    <row r="46" spans="1:2">
      <c r="A46" t="s">
        <v>26</v>
      </c>
      <c r="B46">
        <v>47</v>
      </c>
    </row>
    <row r="48" spans="1:2">
      <c r="A48" s="1" t="s">
        <v>31</v>
      </c>
    </row>
    <row r="49" spans="1:2">
      <c r="A49" t="s">
        <v>20</v>
      </c>
      <c r="B49">
        <v>-1.37808584250496</v>
      </c>
    </row>
    <row r="50" spans="1:2">
      <c r="A50" t="s">
        <v>21</v>
      </c>
      <c r="B50">
        <v>0.94400460340302195</v>
      </c>
    </row>
    <row r="51" spans="1:2">
      <c r="A51" t="s">
        <v>22</v>
      </c>
      <c r="B51">
        <v>1.43611768462461</v>
      </c>
    </row>
    <row r="52" spans="1:2">
      <c r="A52" t="s">
        <v>23</v>
      </c>
      <c r="B52">
        <v>33</v>
      </c>
    </row>
    <row r="53" spans="1:2">
      <c r="A53" t="s">
        <v>24</v>
      </c>
      <c r="B53">
        <v>30.558033820090898</v>
      </c>
    </row>
    <row r="54" spans="1:2">
      <c r="A54" t="s">
        <v>25</v>
      </c>
      <c r="B54">
        <v>13883.7037673427</v>
      </c>
    </row>
    <row r="55" spans="1:2">
      <c r="A55" t="s">
        <v>26</v>
      </c>
      <c r="B55">
        <v>31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4"/>
  <sheetViews>
    <sheetView topLeftCell="A3" workbookViewId="0">
      <selection activeCell="B12" sqref="B12"/>
    </sheetView>
  </sheetViews>
  <sheetFormatPr defaultColWidth="11.5703125" defaultRowHeight="14.45"/>
  <sheetData>
    <row r="2" spans="1:5">
      <c r="A2" s="1" t="s">
        <v>32</v>
      </c>
    </row>
    <row r="3" spans="1:5" ht="15" thickBot="1">
      <c r="A3" t="s">
        <v>33</v>
      </c>
      <c r="B3" t="s">
        <v>34</v>
      </c>
      <c r="C3" t="s">
        <v>35</v>
      </c>
      <c r="D3" t="s">
        <v>36</v>
      </c>
      <c r="E3" s="1" t="s">
        <v>37</v>
      </c>
    </row>
    <row r="4" spans="1:5" ht="15" thickBot="1">
      <c r="A4">
        <f>Inputs!$A$6</f>
        <v>0</v>
      </c>
      <c r="B4" s="2">
        <f>Models!$B$4 + Models!$B$5*Inputs!$A$6</f>
        <v>0.73061574903446702</v>
      </c>
      <c r="C4">
        <f>(Models!$B$4 + Models!$B$5*Inputs!$A$6) - _xlfn.T.INV.2T(1-Inputs!$B$2,Models!$B$10)*Models!$B$6*SQRT(1/Models!$B$7 + (Inputs!$A$6-Models!$B$8)^2/Models!$B$9)</f>
        <v>0.42700846438357543</v>
      </c>
      <c r="D4">
        <f>(Models!$B$4 + Models!$B$5*Inputs!$A$6) + _xlfn.T.INV.2T(1-Inputs!$B$2,Models!$B$10)*Models!$B$6*SQRT(1/Models!$B$7 + (Inputs!$A$6-Models!$B$8)^2/Models!$B$9)</f>
        <v>1.0342230336853586</v>
      </c>
    </row>
    <row r="6" spans="1:5">
      <c r="A6" s="1" t="s">
        <v>38</v>
      </c>
    </row>
    <row r="7" spans="1:5" ht="15" thickBot="1">
      <c r="A7" t="s">
        <v>33</v>
      </c>
      <c r="B7" t="s">
        <v>34</v>
      </c>
      <c r="C7" t="s">
        <v>35</v>
      </c>
      <c r="D7" t="s">
        <v>36</v>
      </c>
      <c r="E7" s="1" t="s">
        <v>39</v>
      </c>
    </row>
    <row r="8" spans="1:5" ht="15" thickBot="1">
      <c r="A8">
        <f>Inputs!$A$6</f>
        <v>0</v>
      </c>
      <c r="B8" s="2">
        <f>Models!$B$31 + Models!$B$32*Inputs!$A$6</f>
        <v>0.345723733027191</v>
      </c>
      <c r="C8">
        <f>(Models!$B$31 + Models!$B$32*Inputs!$A$6) - _xlfn.T.INV.2T(1-Inputs!$B$2,Models!$B$37)*Models!$B$33*SQRT(1/Models!$B$34 + (Inputs!$A$6-Models!$B$35)^2/Models!$B$36)</f>
        <v>0.22723258905200261</v>
      </c>
      <c r="D8">
        <f>(Models!$B$31 + Models!$B$32*Inputs!$A$6) + _xlfn.T.INV.2T(1-Inputs!$B$2,Models!$B$37)*Models!$B$33*SQRT(1/Models!$B$34 + (Inputs!$A$6-Models!$B$35)^2/Models!$B$36)</f>
        <v>0.4642148770023794</v>
      </c>
    </row>
    <row r="10" spans="1:5">
      <c r="A10" s="1" t="s">
        <v>40</v>
      </c>
    </row>
    <row r="11" spans="1:5" ht="15" thickBot="1">
      <c r="A11" t="s">
        <v>33</v>
      </c>
      <c r="B11" t="s">
        <v>34</v>
      </c>
      <c r="C11" t="s">
        <v>35</v>
      </c>
      <c r="D11" t="s">
        <v>36</v>
      </c>
      <c r="E11" s="1" t="s">
        <v>41</v>
      </c>
    </row>
    <row r="12" spans="1:5" ht="15" thickBot="1">
      <c r="A12">
        <f>Inputs!$A$6</f>
        <v>0</v>
      </c>
      <c r="B12" s="2">
        <f>Models!$B$40 + Models!$B$41*Inputs!$A$6</f>
        <v>265.44127860499901</v>
      </c>
      <c r="C12">
        <f>(Models!$B$40 + Models!$B$41*Inputs!$A$6) - _xlfn.T.INV.2T(1-Inputs!$B$2,Models!$B$46)*Models!$B$42*SQRT(1/Models!$B$43 + (Inputs!$A$6-Models!$B$44)^2/Models!$B$45)</f>
        <v>232.2858143273009</v>
      </c>
      <c r="D12">
        <f>(Models!$B$40 + Models!$B$41*Inputs!$A$6) + _xlfn.T.INV.2T(1-Inputs!$B$2,Models!$B$46)*Models!$B$42*SQRT(1/Models!$B$43 + (Inputs!$A$6-Models!$B$44)^2/Models!$B$45)</f>
        <v>298.59674288269713</v>
      </c>
    </row>
    <row r="14" spans="1:5">
      <c r="A14" s="1" t="s">
        <v>42</v>
      </c>
    </row>
    <row r="15" spans="1:5" ht="15" thickBot="1">
      <c r="A15" t="s">
        <v>33</v>
      </c>
      <c r="B15" t="s">
        <v>34</v>
      </c>
      <c r="C15" t="s">
        <v>35</v>
      </c>
      <c r="D15" t="s">
        <v>36</v>
      </c>
      <c r="E15" s="1" t="s">
        <v>43</v>
      </c>
    </row>
    <row r="16" spans="1:5" ht="15" thickBot="1">
      <c r="A16">
        <f>Inputs!$A$6</f>
        <v>0</v>
      </c>
      <c r="B16" s="2">
        <f>Models!$B$49 + Models!$B$50*Inputs!$A$6</f>
        <v>-1.37808584250496</v>
      </c>
      <c r="C16">
        <f>(Models!$B$49 + Models!$B$50*Inputs!$A$6) - _xlfn.T.INV.2T(1-Inputs!$B$2,Models!$B$55)*Models!$B$51*SQRT(1/Models!$B$52 + (Inputs!$A$6-Models!$B$53)^2/Models!$B$54)</f>
        <v>-2.2929472727458569</v>
      </c>
      <c r="D16">
        <f>(Models!$B$49 + Models!$B$50*Inputs!$A$6) + _xlfn.T.INV.2T(1-Inputs!$B$2,Models!$B$55)*Models!$B$51*SQRT(1/Models!$B$52 + (Inputs!$A$6-Models!$B$53)^2/Models!$B$54)</f>
        <v>-0.46322441226406297</v>
      </c>
    </row>
    <row r="18" spans="1:6">
      <c r="A18" s="1" t="s">
        <v>44</v>
      </c>
    </row>
    <row r="19" spans="1:6" ht="15" thickBot="1">
      <c r="A19" t="s">
        <v>45</v>
      </c>
      <c r="B19" t="s">
        <v>46</v>
      </c>
      <c r="C19" t="s">
        <v>47</v>
      </c>
      <c r="D19" t="s">
        <v>35</v>
      </c>
      <c r="E19" t="s">
        <v>36</v>
      </c>
      <c r="F19" s="1" t="s">
        <v>48</v>
      </c>
    </row>
    <row r="20" spans="1:6" ht="15" thickBot="1">
      <c r="A20">
        <f>Results!$B$4</f>
        <v>0.73061574903446702</v>
      </c>
      <c r="B20">
        <f>Models!$B$13 + Models!$B$14*Results!$B$4</f>
        <v>0.82359968482655854</v>
      </c>
      <c r="C20" s="2">
        <f>(Models!$B$13 + Models!$B$14*Results!$B$4)*Results!$B$4</f>
        <v>0.60173490063410706</v>
      </c>
      <c r="D20">
        <f>(Models!$B$13 + Models!$B$14*Results!$B$4) - _xlfn.T.INV.2T(1-Inputs!$B$2,Models!$B$19)*Models!$B$15*SQRT(1/Models!$B$16 + (Results!$B$4-Models!$B$17)^2/Models!$B$18)</f>
        <v>0.73847674292953225</v>
      </c>
      <c r="E20">
        <f>(Models!$B$13 + Models!$B$14*Results!$B$4) + _xlfn.T.INV.2T(1-Inputs!$B$2,Models!$B$19)*Models!$B$15*SQRT(1/Models!$B$16 + (Results!$B$4-Models!$B$17)^2/Models!$B$18)</f>
        <v>0.90872262672358484</v>
      </c>
    </row>
    <row r="22" spans="1:6">
      <c r="A22" s="1" t="s">
        <v>49</v>
      </c>
    </row>
    <row r="23" spans="1:6" ht="15" thickBot="1">
      <c r="A23" t="s">
        <v>50</v>
      </c>
      <c r="B23" t="s">
        <v>51</v>
      </c>
      <c r="C23" t="s">
        <v>35</v>
      </c>
      <c r="D23" t="s">
        <v>36</v>
      </c>
      <c r="E23" s="1" t="s">
        <v>52</v>
      </c>
    </row>
    <row r="24" spans="1:6" ht="15" thickBot="1">
      <c r="A24">
        <f>Results!$B$20</f>
        <v>0.82359968482655854</v>
      </c>
      <c r="B24" s="2">
        <f>Models!$B$22 + Models!$B$23*Results!$B$20</f>
        <v>13.942017415140022</v>
      </c>
      <c r="C24">
        <f>(Models!$B$22 + Models!$B$23*Results!$B$20) - _xlfn.T.INV.2T(1-Inputs!$B$2,Models!$B$28)*Models!$B$24*SQRT(1/Models!$B$25 + (Results!$B$20-Models!$B$26)^2/Models!$B$27)</f>
        <v>12.834754571876502</v>
      </c>
      <c r="D24">
        <f>(Models!$B$22 + Models!$B$23*Results!$B$20) + _xlfn.T.INV.2T(1-Inputs!$B$2,Models!$B$28)*Models!$B$24*SQRT(1/Models!$B$25 + (Results!$B$20-Models!$B$26)^2/Models!$B$27)</f>
        <v>15.049280258403542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0083ea0-d5c2-4bae-a1e6-6b230f3028b4}" enabled="1" method="Standard" siteId="{adc6e70c-c575-40a4-9676-24da4a1fdc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Erik.Tuononen</dc:creator>
  <cp:keywords/>
  <dc:description/>
  <cp:lastModifiedBy/>
  <cp:revision/>
  <dcterms:created xsi:type="dcterms:W3CDTF">2026-03-18T02:41:09Z</dcterms:created>
  <dcterms:modified xsi:type="dcterms:W3CDTF">2026-06-05T20:39:01Z</dcterms:modified>
  <cp:category/>
  <cp:contentStatus/>
</cp:coreProperties>
</file>